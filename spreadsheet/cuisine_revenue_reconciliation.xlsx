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Data" sheetId="1" state="visible" r:id="rId3"/>
    <sheet name="Pivot Table 2" sheetId="2" state="visible" r:id="rId4"/>
    <sheet name="Cuisine Targets" sheetId="3" state="visible" r:id="rId5"/>
    <sheet name="Cuisine Summary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<sst xmlns="http://schemas.openxmlformats.org/spreadsheetml/2006/main" count="106" uniqueCount="27">
  <si>
    <t xml:space="preserve">cuisine</t>
  </si>
  <si>
    <t xml:space="preserve">month</t>
  </si>
  <si>
    <t xml:space="preserve">order_count</t>
  </si>
  <si>
    <t xml:space="preserve">total_revenue</t>
  </si>
  <si>
    <t xml:space="preserve">avg_revenue</t>
  </si>
  <si>
    <t xml:space="preserve">Chinese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</si>
  <si>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</si>
  <si>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</si>
  <si>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</si>
  <si>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</si>
  <si>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</si>
  <si>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</si>
  <si>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Desserts</t>
  </si>
  <si>
    <t xml:space="preserve">Fast Food</t>
  </si>
  <si>
    <t xml:space="preserve">Italian</t>
  </si>
  <si>
    <t xml:space="preserve">North Indian</t>
  </si>
  <si>
    <t xml:space="preserve">South Indian</t>
  </si>
  <si>
    <t xml:space="preserve">Data</t>
  </si>
  <si>
    <t xml:space="preserve">SUM of total_revenue</t>
  </si>
  <si>
    <t xml:space="preserve">SUM of order_count</t>
  </si>
  <si>
    <t xml:space="preserve">(empty)</t>
  </si>
  <si>
    <t xml:space="preserve">Total Result</t>
  </si>
  <si>
    <t xml:space="preserve">target_revenue_inr</t>
  </si>
  <si>
    <t xml:space="preserve">variance</t>
  </si>
  <si>
    <t xml:space="preserve">percentage_variance</t>
  </si>
  <si>
    <t xml:space="preserve">status_tag</t>
  </si>
  <si>
    <t xml:space="preserve">Matches Part A SQL total?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</si>
</sst>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4" createdVersion="3">
  <cacheSource type="worksheet">
    <worksheetSource ref="A1:E1000" sheet="Monthly Data"/>
  </cacheSource>
  <cacheFields count="5">
    <cacheField name="cuisine" numFmtId="0">
      <sharedItems containsBlank="1" count="7">
        <s v="Chinese"/>
        <s v="Desserts"/>
        <s v="Fast Food"/>
        <s v="Italian"/>
        <s v="North Indian"/>
        <s v="South Indian"/>
        <m/>
      </sharedItems>
    </cacheField>
    <cacheField name="month" numFmtId="0">
      <sharedItems containsBlank="1" count="7">
        <s v="2026-01"/>
        <s v="2026-02"/>
        <s v="2026-03"/>
        <s v="2026-04"/>
        <s v="2026-05"/>
        <s v="2026-06"/>
        <m/>
      </sharedItems>
    </cacheField>
    <cacheField name="order_count" numFmtId="0">
      <sharedItems containsString="0" containsBlank="1" containsNumber="1" containsInteger="1" minValue="1" maxValue="27" count="18">
        <n v="1"/>
        <n v="2"/>
        <n v="3"/>
        <n v="4"/>
        <n v="5"/>
        <n v="6"/>
        <n v="7"/>
        <n v="8"/>
        <n v="9"/>
        <n v="10"/>
        <n v="15"/>
        <n v="16"/>
        <n v="18"/>
        <n v="24"/>
        <n v="25"/>
        <n v="26"/>
        <n v="27"/>
        <m/>
      </sharedItems>
    </cacheField>
    <cacheField name="total_revenue" numFmtId="0">
      <sharedItems containsString="0" containsBlank="1" containsNumber="1" containsInteger="1" minValue="1142" maxValue="41132" count="35">
        <n v="1142"/>
        <n v="1455"/>
        <n v="1593"/>
        <n v="1716"/>
        <n v="2809"/>
        <n v="3339"/>
        <n v="3953"/>
        <n v="4510"/>
        <n v="4662"/>
        <n v="5633"/>
        <n v="5706"/>
        <n v="5912"/>
        <n v="6277"/>
        <n v="8546"/>
        <n v="10130"/>
        <n v="10495"/>
        <n v="10499"/>
        <n v="10542"/>
        <n v="11754"/>
        <n v="12834"/>
        <n v="14644"/>
        <n v="14677"/>
        <n v="14818"/>
        <n v="18695"/>
        <n v="20273"/>
        <n v="20381"/>
        <n v="24583"/>
        <n v="25803"/>
        <n v="29231"/>
        <n v="33707"/>
        <n v="37468"/>
        <n v="38819"/>
        <n v="39368"/>
        <n v="41132"/>
        <m/>
      </sharedItems>
    </cacheField>
    <cacheField name="avg_revenue" numFmtId="0">
      <sharedItems containsString="0" containsBlank="1" containsNumber="1" minValue="902" maxValue="1970.66666666667" count="35">
        <n v="902"/>
        <n v="1032.12"/>
        <n v="1049.9"/>
        <n v="1113"/>
        <n v="1142"/>
        <n v="1165.5"/>
        <n v="1166.11111111111"/>
        <n v="1246.33333333333"/>
        <n v="1255.4"/>
        <n v="1267.0625"/>
        <n v="1273.8125"/>
        <n v="1283.4"/>
        <n v="1306"/>
        <n v="1317.66666666667"/>
        <n v="1317.75"/>
        <n v="1404.45833333333"/>
        <n v="1404.5"/>
        <n v="1408.25"/>
        <n v="1424.33333333333"/>
        <n v="1447.14285714286"/>
        <n v="1455"/>
        <n v="1458.07407407407"/>
        <n v="1467.7"/>
        <n v="1481.8"/>
        <n v="1493.03846153846"/>
        <n v="1498.72"/>
        <n v="1523.40740740741"/>
        <n v="1536.4375"/>
        <n v="1593"/>
        <n v="1623.94444444444"/>
        <n v="1716"/>
        <n v="1830.5"/>
        <n v="1902"/>
        <n v="1970.66666666667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x v="0"/>
    <x v="11"/>
    <x v="26"/>
    <x v="27"/>
  </r>
  <r>
    <x v="0"/>
    <x v="1"/>
    <x v="11"/>
    <x v="25"/>
    <x v="10"/>
  </r>
  <r>
    <x v="0"/>
    <x v="2"/>
    <x v="11"/>
    <x v="24"/>
    <x v="9"/>
  </r>
  <r>
    <x v="0"/>
    <x v="3"/>
    <x v="10"/>
    <x v="23"/>
    <x v="7"/>
  </r>
  <r>
    <x v="0"/>
    <x v="4"/>
    <x v="9"/>
    <x v="21"/>
    <x v="22"/>
  </r>
  <r>
    <x v="0"/>
    <x v="5"/>
    <x v="12"/>
    <x v="28"/>
    <x v="29"/>
  </r>
  <r>
    <x v="1"/>
    <x v="0"/>
    <x v="2"/>
    <x v="10"/>
    <x v="32"/>
  </r>
  <r>
    <x v="1"/>
    <x v="1"/>
    <x v="2"/>
    <x v="6"/>
    <x v="13"/>
  </r>
  <r>
    <x v="1"/>
    <x v="2"/>
    <x v="1"/>
    <x v="4"/>
    <x v="16"/>
  </r>
  <r>
    <x v="1"/>
    <x v="4"/>
    <x v="3"/>
    <x v="9"/>
    <x v="17"/>
  </r>
  <r>
    <x v="1"/>
    <x v="5"/>
    <x v="0"/>
    <x v="2"/>
    <x v="28"/>
  </r>
  <r>
    <x v="2"/>
    <x v="0"/>
    <x v="9"/>
    <x v="16"/>
    <x v="2"/>
  </r>
  <r>
    <x v="2"/>
    <x v="1"/>
    <x v="4"/>
    <x v="12"/>
    <x v="8"/>
  </r>
  <r>
    <x v="2"/>
    <x v="2"/>
    <x v="8"/>
    <x v="15"/>
    <x v="6"/>
  </r>
  <r>
    <x v="2"/>
    <x v="3"/>
    <x v="7"/>
    <x v="20"/>
    <x v="31"/>
  </r>
  <r>
    <x v="2"/>
    <x v="4"/>
    <x v="5"/>
    <x v="13"/>
    <x v="18"/>
  </r>
  <r>
    <x v="2"/>
    <x v="5"/>
    <x v="3"/>
    <x v="8"/>
    <x v="5"/>
  </r>
  <r>
    <x v="3"/>
    <x v="0"/>
    <x v="0"/>
    <x v="3"/>
    <x v="30"/>
  </r>
  <r>
    <x v="3"/>
    <x v="1"/>
    <x v="0"/>
    <x v="0"/>
    <x v="4"/>
  </r>
  <r>
    <x v="3"/>
    <x v="3"/>
    <x v="4"/>
    <x v="7"/>
    <x v="0"/>
  </r>
  <r>
    <x v="3"/>
    <x v="4"/>
    <x v="0"/>
    <x v="1"/>
    <x v="20"/>
  </r>
  <r>
    <x v="3"/>
    <x v="5"/>
    <x v="2"/>
    <x v="11"/>
    <x v="33"/>
  </r>
  <r>
    <x v="4"/>
    <x v="0"/>
    <x v="14"/>
    <x v="30"/>
    <x v="25"/>
  </r>
  <r>
    <x v="4"/>
    <x v="1"/>
    <x v="15"/>
    <x v="31"/>
    <x v="24"/>
  </r>
  <r>
    <x v="4"/>
    <x v="2"/>
    <x v="14"/>
    <x v="27"/>
    <x v="1"/>
  </r>
  <r>
    <x v="4"/>
    <x v="3"/>
    <x v="16"/>
    <x v="32"/>
    <x v="21"/>
  </r>
  <r>
    <x v="4"/>
    <x v="4"/>
    <x v="13"/>
    <x v="29"/>
    <x v="15"/>
  </r>
  <r>
    <x v="4"/>
    <x v="5"/>
    <x v="16"/>
    <x v="33"/>
    <x v="26"/>
  </r>
  <r>
    <x v="5"/>
    <x v="0"/>
    <x v="2"/>
    <x v="5"/>
    <x v="3"/>
  </r>
  <r>
    <x v="5"/>
    <x v="1"/>
    <x v="8"/>
    <x v="18"/>
    <x v="12"/>
  </r>
  <r>
    <x v="5"/>
    <x v="2"/>
    <x v="9"/>
    <x v="22"/>
    <x v="23"/>
  </r>
  <r>
    <x v="5"/>
    <x v="3"/>
    <x v="7"/>
    <x v="17"/>
    <x v="14"/>
  </r>
  <r>
    <x v="5"/>
    <x v="4"/>
    <x v="6"/>
    <x v="14"/>
    <x v="19"/>
  </r>
  <r>
    <x v="5"/>
    <x v="5"/>
    <x v="9"/>
    <x v="19"/>
    <x v="1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 Table 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C10" firstHeaderRow="1" firstDataRow="2" firstDataCol="1"/>
  <pivotFields count="5">
    <pivotField axis="axisRow" compact="0" showAll="0" outline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0"/>
  </rowFields>
  <colFields count="1">
    <field x="-2"/>
  </colFields>
  <dataFields count="2">
    <dataField name="SUM of total_revenue" fld="3" subtotal="sum" numFmtId="164"/>
    <dataField name="SUM of order_count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26" min="6" style="1" width="8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3" t="s">
        <v>6</v>
      </c>
      <c r="C2" s="3" t="n">
        <v>16</v>
      </c>
      <c r="D2" s="3" t="n">
        <v>24583</v>
      </c>
      <c r="E2" s="3" t="n">
        <v>1536.4375</v>
      </c>
    </row>
    <row r="3" customFormat="false" ht="15" hidden="false" customHeight="true" outlineLevel="0" collapsed="false">
      <c r="A3" s="3" t="s">
        <v>5</v>
      </c>
      <c r="B3" s="3" t="s">
        <v>7</v>
      </c>
      <c r="C3" s="3" t="n">
        <v>16</v>
      </c>
      <c r="D3" s="3" t="n">
        <v>20381</v>
      </c>
      <c r="E3" s="3" t="n">
        <v>1273.8125</v>
      </c>
    </row>
    <row r="4" customFormat="false" ht="15" hidden="false" customHeight="true" outlineLevel="0" collapsed="false">
      <c r="A4" s="3" t="s">
        <v>5</v>
      </c>
      <c r="B4" s="3" t="s">
        <v>8</v>
      </c>
      <c r="C4" s="3" t="n">
        <v>16</v>
      </c>
      <c r="D4" s="3" t="n">
        <v>20273</v>
      </c>
      <c r="E4" s="3" t="n">
        <v>1267.0625</v>
      </c>
    </row>
    <row r="5" customFormat="false" ht="15" hidden="false" customHeight="true" outlineLevel="0" collapsed="false">
      <c r="A5" s="3" t="s">
        <v>5</v>
      </c>
      <c r="B5" s="3" t="s">
        <v>9</v>
      </c>
      <c r="C5" s="3" t="n">
        <v>15</v>
      </c>
      <c r="D5" s="3" t="n">
        <v>18695</v>
      </c>
      <c r="E5" s="3" t="n">
        <v>1246.33333333333</v>
      </c>
    </row>
    <row r="6" customFormat="false" ht="15" hidden="false" customHeight="true" outlineLevel="0" collapsed="false">
      <c r="A6" s="3" t="s">
        <v>5</v>
      </c>
      <c r="B6" s="3" t="s">
        <v>10</v>
      </c>
      <c r="C6" s="3" t="n">
        <v>10</v>
      </c>
      <c r="D6" s="3" t="n">
        <v>14677</v>
      </c>
      <c r="E6" s="3" t="n">
        <v>1467.7</v>
      </c>
    </row>
    <row r="7" customFormat="false" ht="15" hidden="false" customHeight="true" outlineLevel="0" collapsed="false">
      <c r="A7" s="3" t="s">
        <v>5</v>
      </c>
      <c r="B7" s="3" t="s">
        <v>11</v>
      </c>
      <c r="C7" s="3" t="n">
        <v>18</v>
      </c>
      <c r="D7" s="3" t="n">
        <v>29231</v>
      </c>
      <c r="E7" s="3" t="n">
        <v>1623.94444444444</v>
      </c>
    </row>
    <row r="8" customFormat="false" ht="15" hidden="false" customHeight="true" outlineLevel="0" collapsed="false">
      <c r="A8" s="3" t="s">
        <v>12</v>
      </c>
      <c r="B8" s="3" t="s">
        <v>6</v>
      </c>
      <c r="C8" s="3" t="n">
        <v>3</v>
      </c>
      <c r="D8" s="3" t="n">
        <v>5706</v>
      </c>
      <c r="E8" s="3" t="n">
        <v>1902</v>
      </c>
    </row>
    <row r="9" customFormat="false" ht="15" hidden="false" customHeight="true" outlineLevel="0" collapsed="false">
      <c r="A9" s="3" t="s">
        <v>12</v>
      </c>
      <c r="B9" s="3" t="s">
        <v>7</v>
      </c>
      <c r="C9" s="3" t="n">
        <v>3</v>
      </c>
      <c r="D9" s="3" t="n">
        <v>3953</v>
      </c>
      <c r="E9" s="3" t="n">
        <v>1317.66666666667</v>
      </c>
    </row>
    <row r="10" customFormat="false" ht="15" hidden="false" customHeight="true" outlineLevel="0" collapsed="false">
      <c r="A10" s="3" t="s">
        <v>12</v>
      </c>
      <c r="B10" s="3" t="s">
        <v>8</v>
      </c>
      <c r="C10" s="3" t="n">
        <v>2</v>
      </c>
      <c r="D10" s="3" t="n">
        <v>2809</v>
      </c>
      <c r="E10" s="3" t="n">
        <v>1404.5</v>
      </c>
    </row>
    <row r="11" customFormat="false" ht="15" hidden="false" customHeight="true" outlineLevel="0" collapsed="false">
      <c r="A11" s="3" t="s">
        <v>12</v>
      </c>
      <c r="B11" s="3" t="s">
        <v>10</v>
      </c>
      <c r="C11" s="3" t="n">
        <v>4</v>
      </c>
      <c r="D11" s="3" t="n">
        <v>5633</v>
      </c>
      <c r="E11" s="3" t="n">
        <v>1408.25</v>
      </c>
    </row>
    <row r="12" customFormat="false" ht="15" hidden="false" customHeight="true" outlineLevel="0" collapsed="false">
      <c r="A12" s="3" t="s">
        <v>12</v>
      </c>
      <c r="B12" s="3" t="s">
        <v>11</v>
      </c>
      <c r="C12" s="3" t="n">
        <v>1</v>
      </c>
      <c r="D12" s="3" t="n">
        <v>1593</v>
      </c>
      <c r="E12" s="3" t="n">
        <v>1593</v>
      </c>
    </row>
    <row r="13" customFormat="false" ht="15" hidden="false" customHeight="true" outlineLevel="0" collapsed="false">
      <c r="A13" s="3" t="s">
        <v>13</v>
      </c>
      <c r="B13" s="3" t="s">
        <v>6</v>
      </c>
      <c r="C13" s="3" t="n">
        <v>10</v>
      </c>
      <c r="D13" s="3" t="n">
        <v>10499</v>
      </c>
      <c r="E13" s="3" t="n">
        <v>1049.9</v>
      </c>
    </row>
    <row r="14" customFormat="false" ht="15" hidden="false" customHeight="true" outlineLevel="0" collapsed="false">
      <c r="A14" s="3" t="s">
        <v>13</v>
      </c>
      <c r="B14" s="3" t="s">
        <v>7</v>
      </c>
      <c r="C14" s="3" t="n">
        <v>5</v>
      </c>
      <c r="D14" s="3" t="n">
        <v>6277</v>
      </c>
      <c r="E14" s="3" t="n">
        <v>1255.4</v>
      </c>
    </row>
    <row r="15" customFormat="false" ht="15" hidden="false" customHeight="true" outlineLevel="0" collapsed="false">
      <c r="A15" s="3" t="s">
        <v>13</v>
      </c>
      <c r="B15" s="3" t="s">
        <v>8</v>
      </c>
      <c r="C15" s="3" t="n">
        <v>9</v>
      </c>
      <c r="D15" s="3" t="n">
        <v>10495</v>
      </c>
      <c r="E15" s="3" t="n">
        <v>1166.11111111111</v>
      </c>
    </row>
    <row r="16" customFormat="false" ht="15" hidden="false" customHeight="true" outlineLevel="0" collapsed="false">
      <c r="A16" s="3" t="s">
        <v>13</v>
      </c>
      <c r="B16" s="3" t="s">
        <v>9</v>
      </c>
      <c r="C16" s="3" t="n">
        <v>8</v>
      </c>
      <c r="D16" s="3" t="n">
        <v>14644</v>
      </c>
      <c r="E16" s="3" t="n">
        <v>1830.5</v>
      </c>
    </row>
    <row r="17" customFormat="false" ht="15" hidden="false" customHeight="true" outlineLevel="0" collapsed="false">
      <c r="A17" s="3" t="s">
        <v>13</v>
      </c>
      <c r="B17" s="3" t="s">
        <v>10</v>
      </c>
      <c r="C17" s="3" t="n">
        <v>6</v>
      </c>
      <c r="D17" s="3" t="n">
        <v>8546</v>
      </c>
      <c r="E17" s="3" t="n">
        <v>1424.33333333333</v>
      </c>
    </row>
    <row r="18" customFormat="false" ht="15" hidden="false" customHeight="true" outlineLevel="0" collapsed="false">
      <c r="A18" s="3" t="s">
        <v>13</v>
      </c>
      <c r="B18" s="3" t="s">
        <v>11</v>
      </c>
      <c r="C18" s="3" t="n">
        <v>4</v>
      </c>
      <c r="D18" s="3" t="n">
        <v>4662</v>
      </c>
      <c r="E18" s="3" t="n">
        <v>1165.5</v>
      </c>
    </row>
    <row r="19" customFormat="false" ht="15" hidden="false" customHeight="true" outlineLevel="0" collapsed="false">
      <c r="A19" s="3" t="s">
        <v>14</v>
      </c>
      <c r="B19" s="3" t="s">
        <v>6</v>
      </c>
      <c r="C19" s="3" t="n">
        <v>1</v>
      </c>
      <c r="D19" s="3" t="n">
        <v>1716</v>
      </c>
      <c r="E19" s="3" t="n">
        <v>1716</v>
      </c>
    </row>
    <row r="20" customFormat="false" ht="15" hidden="false" customHeight="true" outlineLevel="0" collapsed="false">
      <c r="A20" s="3" t="s">
        <v>14</v>
      </c>
      <c r="B20" s="3" t="s">
        <v>7</v>
      </c>
      <c r="C20" s="3" t="n">
        <v>1</v>
      </c>
      <c r="D20" s="3" t="n">
        <v>1142</v>
      </c>
      <c r="E20" s="3" t="n">
        <v>1142</v>
      </c>
    </row>
    <row r="21" customFormat="false" ht="15.75" hidden="false" customHeight="true" outlineLevel="0" collapsed="false">
      <c r="A21" s="3" t="s">
        <v>14</v>
      </c>
      <c r="B21" s="3" t="s">
        <v>9</v>
      </c>
      <c r="C21" s="3" t="n">
        <v>5</v>
      </c>
      <c r="D21" s="3" t="n">
        <v>4510</v>
      </c>
      <c r="E21" s="3" t="n">
        <v>902</v>
      </c>
    </row>
    <row r="22" customFormat="false" ht="15.75" hidden="false" customHeight="true" outlineLevel="0" collapsed="false">
      <c r="A22" s="3" t="s">
        <v>14</v>
      </c>
      <c r="B22" s="3" t="s">
        <v>10</v>
      </c>
      <c r="C22" s="3" t="n">
        <v>1</v>
      </c>
      <c r="D22" s="3" t="n">
        <v>1455</v>
      </c>
      <c r="E22" s="3" t="n">
        <v>1455</v>
      </c>
    </row>
    <row r="23" customFormat="false" ht="15.75" hidden="false" customHeight="true" outlineLevel="0" collapsed="false">
      <c r="A23" s="3" t="s">
        <v>14</v>
      </c>
      <c r="B23" s="3" t="s">
        <v>11</v>
      </c>
      <c r="C23" s="3" t="n">
        <v>3</v>
      </c>
      <c r="D23" s="3" t="n">
        <v>5912</v>
      </c>
      <c r="E23" s="3" t="n">
        <v>1970.66666666667</v>
      </c>
    </row>
    <row r="24" customFormat="false" ht="15.75" hidden="false" customHeight="true" outlineLevel="0" collapsed="false">
      <c r="A24" s="3" t="s">
        <v>15</v>
      </c>
      <c r="B24" s="3" t="s">
        <v>6</v>
      </c>
      <c r="C24" s="3" t="n">
        <v>25</v>
      </c>
      <c r="D24" s="3" t="n">
        <v>37468</v>
      </c>
      <c r="E24" s="3" t="n">
        <v>1498.72</v>
      </c>
    </row>
    <row r="25" customFormat="false" ht="15.75" hidden="false" customHeight="true" outlineLevel="0" collapsed="false">
      <c r="A25" s="3" t="s">
        <v>15</v>
      </c>
      <c r="B25" s="3" t="s">
        <v>7</v>
      </c>
      <c r="C25" s="3" t="n">
        <v>26</v>
      </c>
      <c r="D25" s="3" t="n">
        <v>38819</v>
      </c>
      <c r="E25" s="3" t="n">
        <v>1493.03846153846</v>
      </c>
    </row>
    <row r="26" customFormat="false" ht="15.75" hidden="false" customHeight="true" outlineLevel="0" collapsed="false">
      <c r="A26" s="3" t="s">
        <v>15</v>
      </c>
      <c r="B26" s="3" t="s">
        <v>8</v>
      </c>
      <c r="C26" s="3" t="n">
        <v>25</v>
      </c>
      <c r="D26" s="3" t="n">
        <v>25803</v>
      </c>
      <c r="E26" s="3" t="n">
        <v>1032.12</v>
      </c>
    </row>
    <row r="27" customFormat="false" ht="15.75" hidden="false" customHeight="true" outlineLevel="0" collapsed="false">
      <c r="A27" s="3" t="s">
        <v>15</v>
      </c>
      <c r="B27" s="3" t="s">
        <v>9</v>
      </c>
      <c r="C27" s="3" t="n">
        <v>27</v>
      </c>
      <c r="D27" s="3" t="n">
        <v>39368</v>
      </c>
      <c r="E27" s="3" t="n">
        <v>1458.07407407407</v>
      </c>
    </row>
    <row r="28" customFormat="false" ht="15.75" hidden="false" customHeight="true" outlineLevel="0" collapsed="false">
      <c r="A28" s="3" t="s">
        <v>15</v>
      </c>
      <c r="B28" s="3" t="s">
        <v>10</v>
      </c>
      <c r="C28" s="3" t="n">
        <v>24</v>
      </c>
      <c r="D28" s="3" t="n">
        <v>33707</v>
      </c>
      <c r="E28" s="3" t="n">
        <v>1404.45833333333</v>
      </c>
    </row>
    <row r="29" customFormat="false" ht="15.75" hidden="false" customHeight="true" outlineLevel="0" collapsed="false">
      <c r="A29" s="3" t="s">
        <v>15</v>
      </c>
      <c r="B29" s="3" t="s">
        <v>11</v>
      </c>
      <c r="C29" s="3" t="n">
        <v>27</v>
      </c>
      <c r="D29" s="3" t="n">
        <v>41132</v>
      </c>
      <c r="E29" s="3" t="n">
        <v>1523.40740740741</v>
      </c>
    </row>
    <row r="30" customFormat="false" ht="15.75" hidden="false" customHeight="true" outlineLevel="0" collapsed="false">
      <c r="A30" s="3" t="s">
        <v>16</v>
      </c>
      <c r="B30" s="3" t="s">
        <v>6</v>
      </c>
      <c r="C30" s="3" t="n">
        <v>3</v>
      </c>
      <c r="D30" s="3" t="n">
        <v>3339</v>
      </c>
      <c r="E30" s="3" t="n">
        <v>1113</v>
      </c>
    </row>
    <row r="31" customFormat="false" ht="15.75" hidden="false" customHeight="true" outlineLevel="0" collapsed="false">
      <c r="A31" s="3" t="s">
        <v>16</v>
      </c>
      <c r="B31" s="3" t="s">
        <v>7</v>
      </c>
      <c r="C31" s="3" t="n">
        <v>9</v>
      </c>
      <c r="D31" s="3" t="n">
        <v>11754</v>
      </c>
      <c r="E31" s="3" t="n">
        <v>1306</v>
      </c>
    </row>
    <row r="32" customFormat="false" ht="15.75" hidden="false" customHeight="true" outlineLevel="0" collapsed="false">
      <c r="A32" s="3" t="s">
        <v>16</v>
      </c>
      <c r="B32" s="3" t="s">
        <v>8</v>
      </c>
      <c r="C32" s="3" t="n">
        <v>10</v>
      </c>
      <c r="D32" s="3" t="n">
        <v>14818</v>
      </c>
      <c r="E32" s="3" t="n">
        <v>1481.8</v>
      </c>
    </row>
    <row r="33" customFormat="false" ht="15.75" hidden="false" customHeight="true" outlineLevel="0" collapsed="false">
      <c r="A33" s="3" t="s">
        <v>16</v>
      </c>
      <c r="B33" s="3" t="s">
        <v>9</v>
      </c>
      <c r="C33" s="3" t="n">
        <v>8</v>
      </c>
      <c r="D33" s="3" t="n">
        <v>10542</v>
      </c>
      <c r="E33" s="3" t="n">
        <v>1317.75</v>
      </c>
    </row>
    <row r="34" customFormat="false" ht="15.75" hidden="false" customHeight="true" outlineLevel="0" collapsed="false">
      <c r="A34" s="3" t="s">
        <v>16</v>
      </c>
      <c r="B34" s="3" t="s">
        <v>10</v>
      </c>
      <c r="C34" s="3" t="n">
        <v>7</v>
      </c>
      <c r="D34" s="3" t="n">
        <v>10130</v>
      </c>
      <c r="E34" s="3" t="n">
        <v>1447.14285714286</v>
      </c>
    </row>
    <row r="35" customFormat="false" ht="15.75" hidden="false" customHeight="true" outlineLevel="0" collapsed="false">
      <c r="A35" s="3" t="s">
        <v>16</v>
      </c>
      <c r="B35" s="3" t="s">
        <v>11</v>
      </c>
      <c r="C35" s="3" t="n">
        <v>10</v>
      </c>
      <c r="D35" s="3" t="n">
        <v>12834</v>
      </c>
      <c r="E35" s="3" t="n">
        <v>1283.4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sheetData>
    <row r="1" customFormat="false" ht="15" hidden="false" customHeight="true" outlineLevel="0" collapsed="false">
      <c r="A1" s="4"/>
      <c r="B1" s="5" t="s">
        <v>17</v>
      </c>
      <c r="C1" s="6"/>
    </row>
    <row r="2" customFormat="false" ht="15" hidden="false" customHeight="true" outlineLevel="0" collapsed="false">
      <c r="A2" s="7" t="s">
        <v>0</v>
      </c>
      <c r="B2" s="8" t="s">
        <v>18</v>
      </c>
      <c r="C2" s="9" t="s">
        <v>19</v>
      </c>
    </row>
    <row r="3" customFormat="false" ht="15" hidden="false" customHeight="true" outlineLevel="0" collapsed="false">
      <c r="A3" s="10" t="s">
        <v>5</v>
      </c>
      <c r="B3" s="11" t="n">
        <v>127840</v>
      </c>
      <c r="C3" s="12" t="n">
        <v>91</v>
      </c>
    </row>
    <row r="4" customFormat="false" ht="15" hidden="false" customHeight="true" outlineLevel="0" collapsed="false">
      <c r="A4" s="13" t="s">
        <v>12</v>
      </c>
      <c r="B4" s="14" t="n">
        <v>19694</v>
      </c>
      <c r="C4" s="15" t="n">
        <v>13</v>
      </c>
    </row>
    <row r="5" customFormat="false" ht="15" hidden="false" customHeight="true" outlineLevel="0" collapsed="false">
      <c r="A5" s="13" t="s">
        <v>13</v>
      </c>
      <c r="B5" s="14" t="n">
        <v>55123</v>
      </c>
      <c r="C5" s="15" t="n">
        <v>42</v>
      </c>
    </row>
    <row r="6" customFormat="false" ht="15" hidden="false" customHeight="true" outlineLevel="0" collapsed="false">
      <c r="A6" s="13" t="s">
        <v>14</v>
      </c>
      <c r="B6" s="14" t="n">
        <v>14735</v>
      </c>
      <c r="C6" s="15" t="n">
        <v>11</v>
      </c>
    </row>
    <row r="7" customFormat="false" ht="15" hidden="false" customHeight="true" outlineLevel="0" collapsed="false">
      <c r="A7" s="13" t="s">
        <v>15</v>
      </c>
      <c r="B7" s="14" t="n">
        <v>216297</v>
      </c>
      <c r="C7" s="15" t="n">
        <v>154</v>
      </c>
    </row>
    <row r="8" customFormat="false" ht="15" hidden="false" customHeight="true" outlineLevel="0" collapsed="false">
      <c r="A8" s="13" t="s">
        <v>16</v>
      </c>
      <c r="B8" s="14" t="n">
        <v>63417</v>
      </c>
      <c r="C8" s="15" t="n">
        <v>47</v>
      </c>
    </row>
    <row r="9" customFormat="false" ht="15" hidden="false" customHeight="true" outlineLevel="0" collapsed="false">
      <c r="A9" s="13" t="s">
        <v>20</v>
      </c>
      <c r="B9" s="16"/>
      <c r="C9" s="17"/>
    </row>
    <row r="10" customFormat="false" ht="15" hidden="false" customHeight="true" outlineLevel="0" collapsed="false">
      <c r="A10" s="18" t="s">
        <v>21</v>
      </c>
      <c r="B10" s="19" t="n">
        <v>497106</v>
      </c>
      <c r="C10" s="20" t="n">
        <v>358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26" min="3" style="1" width="8.71"/>
  </cols>
  <sheetData>
    <row r="1" customFormat="false" ht="15" hidden="false" customHeight="true" outlineLevel="0" collapsed="false">
      <c r="A1" s="2" t="s">
        <v>0</v>
      </c>
      <c r="B1" s="2" t="s">
        <v>22</v>
      </c>
    </row>
    <row r="2" customFormat="false" ht="15" hidden="false" customHeight="true" outlineLevel="0" collapsed="false">
      <c r="A2" s="3" t="s">
        <v>15</v>
      </c>
      <c r="B2" s="3" t="n">
        <v>180000</v>
      </c>
    </row>
    <row r="3" customFormat="false" ht="15" hidden="false" customHeight="true" outlineLevel="0" collapsed="false">
      <c r="A3" s="3" t="s">
        <v>5</v>
      </c>
      <c r="B3" s="3" t="n">
        <v>140000</v>
      </c>
    </row>
    <row r="4" customFormat="false" ht="15" hidden="false" customHeight="true" outlineLevel="0" collapsed="false">
      <c r="A4" s="3" t="s">
        <v>16</v>
      </c>
      <c r="B4" s="3" t="n">
        <v>50000</v>
      </c>
    </row>
    <row r="5" customFormat="false" ht="15" hidden="false" customHeight="true" outlineLevel="0" collapsed="false">
      <c r="A5" s="3" t="s">
        <v>13</v>
      </c>
      <c r="B5" s="3" t="n">
        <v>60000</v>
      </c>
    </row>
    <row r="6" customFormat="false" ht="15" hidden="false" customHeight="true" outlineLevel="0" collapsed="false">
      <c r="A6" s="3" t="s">
        <v>12</v>
      </c>
      <c r="B6" s="3" t="n">
        <v>25000</v>
      </c>
    </row>
    <row r="7" customFormat="false" ht="15" hidden="false" customHeight="true" outlineLevel="0" collapsed="false">
      <c r="A7" s="3" t="s">
        <v>14</v>
      </c>
      <c r="B7" s="3" t="n">
        <v>10000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26"/>
    <col collapsed="false" customWidth="true" hidden="false" outlineLevel="0" max="26" min="8" style="1" width="8.71"/>
  </cols>
  <sheetData>
    <row r="1" customFormat="false" ht="15" hidden="false" customHeight="true" outlineLevel="0" collapsed="false">
      <c r="A1" s="2" t="s">
        <v>0</v>
      </c>
      <c r="B1" s="2" t="s">
        <v>3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customFormat="false" ht="15" hidden="false" customHeight="true" outlineLevel="0" collapsed="false">
      <c r="A2" s="3" t="s">
        <v>5</v>
      </c>
      <c r="B2" s="3" t="n">
        <f aca="false">VLOOKUP(A2,'Pivot Table 2'!A:B,2,FALSE())</f>
        <v>127840</v>
      </c>
      <c r="C2" s="3" t="n">
        <f aca="false">VLOOKUP(A2,'Cuisine Targets'!$A$2:$B$7,2,FALSE())</f>
        <v>140000</v>
      </c>
      <c r="D2" s="3" t="n">
        <f aca="false">C2-B2</f>
        <v>12160</v>
      </c>
      <c r="E2" s="21" t="n">
        <f aca="false">((B2-C2)/C2)*100</f>
        <v>-8.68571428571429</v>
      </c>
      <c r="F2" s="3" t="str">
        <f aca="false">IF(B2&gt;=C2,"Above Target",IF(((C2-B2)/C2)*100&lt;=15,"Below Target - Watch","Below Target - Critical"))</f>
        <v>Below Target - Watch</v>
      </c>
      <c r="G2" s="3" t="str">
        <f aca="false">IF(B2=127840,"Yes","No — mismatch, check Steps 1-4")</f>
        <v>Yes</v>
      </c>
    </row>
    <row r="3" customFormat="false" ht="15" hidden="false" customHeight="true" outlineLevel="0" collapsed="false">
      <c r="A3" s="3" t="s">
        <v>12</v>
      </c>
      <c r="B3" s="3" t="n">
        <f aca="false">VLOOKUP(A3,'Pivot Table 2'!A:B,2,FALSE())</f>
        <v>19694</v>
      </c>
      <c r="C3" s="3" t="n">
        <f aca="false">VLOOKUP(A3,'Cuisine Targets'!$A$2:$B$7,2,FALSE())</f>
        <v>25000</v>
      </c>
      <c r="D3" s="3" t="n">
        <f aca="false">C3-B3</f>
        <v>5306</v>
      </c>
      <c r="E3" s="21" t="n">
        <f aca="false">((B3-C3)/C3)*100</f>
        <v>-21.224</v>
      </c>
      <c r="F3" s="3" t="str">
        <f aca="false">IF(B3&gt;=C3,"Above Target",IF(((C3-B3)/C3)*100&lt;=15,"Below Target - Watch","Below Target - Critical"))</f>
        <v>Below Target - Critical</v>
      </c>
      <c r="G3" s="3" t="str">
        <f aca="false">IF(B3=19694,"Yes","No — mismatch, check Steps 1-4")</f>
        <v>Yes</v>
      </c>
    </row>
    <row r="4" customFormat="false" ht="15" hidden="false" customHeight="true" outlineLevel="0" collapsed="false">
      <c r="A4" s="3" t="s">
        <v>13</v>
      </c>
      <c r="B4" s="3" t="n">
        <f aca="false">VLOOKUP(A4,'Pivot Table 2'!A:B,2,FALSE())</f>
        <v>55123</v>
      </c>
      <c r="C4" s="3" t="n">
        <f aca="false">VLOOKUP(A4,'Cuisine Targets'!$A$2:$B$7,2,FALSE())</f>
        <v>60000</v>
      </c>
      <c r="D4" s="3" t="n">
        <f aca="false">C4-B4</f>
        <v>4877</v>
      </c>
      <c r="E4" s="21" t="n">
        <f aca="false">((B4-C4)/C4)*100</f>
        <v>-8.12833333333333</v>
      </c>
      <c r="F4" s="3" t="str">
        <f aca="false">IF(B4&gt;=C4,"Above Target",IF(((C4-B4)/C4)*100&lt;=15,"Below Target - Watch","Below Target - Critical"))</f>
        <v>Below Target - Watch</v>
      </c>
      <c r="G4" s="3" t="str">
        <f aca="false">IF(B4=55123,"Yes","No — mismatch, check Steps 1-4")</f>
        <v>Yes</v>
      </c>
    </row>
    <row r="5" customFormat="false" ht="15" hidden="false" customHeight="true" outlineLevel="0" collapsed="false">
      <c r="A5" s="3" t="s">
        <v>14</v>
      </c>
      <c r="B5" s="3" t="n">
        <f aca="false">VLOOKUP(A5,'Pivot Table 2'!A:B,2,FALSE())</f>
        <v>14735</v>
      </c>
      <c r="C5" s="3" t="n">
        <f aca="false">VLOOKUP(A5,'Cuisine Targets'!$A$2:$B$7,2,FALSE())</f>
        <v>10000</v>
      </c>
      <c r="D5" s="3" t="n">
        <f aca="false">C5-B5</f>
        <v>-4735</v>
      </c>
      <c r="E5" s="21" t="n">
        <f aca="false">((B5-C5)/C5)*100</f>
        <v>47.35</v>
      </c>
      <c r="F5" s="3" t="str">
        <f aca="false">IF(B5&gt;=C5,"Above Target",IF(((C5-B5)/C5)*100&lt;=15,"Below Target - Watch","Below Target - Critical"))</f>
        <v>Above Target</v>
      </c>
      <c r="G5" s="3" t="str">
        <f aca="false">IF(B5=14735,"Yes","No — mismatch, check Steps 1-4")</f>
        <v>Yes</v>
      </c>
    </row>
    <row r="6" customFormat="false" ht="15" hidden="false" customHeight="true" outlineLevel="0" collapsed="false">
      <c r="A6" s="3" t="s">
        <v>15</v>
      </c>
      <c r="B6" s="3" t="n">
        <f aca="false">VLOOKUP(A6,'Pivot Table 2'!A:B,2,FALSE())</f>
        <v>216297</v>
      </c>
      <c r="C6" s="3" t="n">
        <f aca="false">VLOOKUP(A6,'Cuisine Targets'!$A$2:$B$7,2,FALSE())</f>
        <v>180000</v>
      </c>
      <c r="D6" s="3" t="n">
        <f aca="false">C6-B6</f>
        <v>-36297</v>
      </c>
      <c r="E6" s="21" t="n">
        <f aca="false">((B6-C6)/C6)*100</f>
        <v>20.165</v>
      </c>
      <c r="F6" s="3" t="str">
        <f aca="false">IF(B6&gt;=C6,"Above Target",IF(((C6-B6)/C6)*100&lt;=15,"Below Target - Watch","Below Target - Critical"))</f>
        <v>Above Target</v>
      </c>
      <c r="G6" s="3" t="str">
        <f aca="false">IF(B6=216297,"Yes","No — mismatch, check Steps 1-4")</f>
        <v>Yes</v>
      </c>
    </row>
    <row r="7" customFormat="false" ht="15" hidden="false" customHeight="true" outlineLevel="0" collapsed="false">
      <c r="A7" s="3" t="s">
        <v>16</v>
      </c>
      <c r="B7" s="3" t="n">
        <f aca="false">VLOOKUP(A7,'Pivot Table 2'!A:B,2,FALSE())</f>
        <v>63417</v>
      </c>
      <c r="C7" s="3" t="n">
        <f aca="false">VLOOKUP(A7,'Cuisine Targets'!$A$2:$B$7,2,FALSE())</f>
        <v>50000</v>
      </c>
      <c r="D7" s="3" t="n">
        <f aca="false">C7-B7</f>
        <v>-13417</v>
      </c>
      <c r="E7" s="21" t="n">
        <f aca="false">((B7-C7)/C7)*100</f>
        <v>26.834</v>
      </c>
      <c r="F7" s="3" t="str">
        <f aca="false">IF(B7&gt;=C7,"Above Target",IF(((C7-B7)/C7)*100&lt;=15,"Below Target - Watch","Below Target - Critical"))</f>
        <v>Above Target</v>
      </c>
      <c r="G7" s="3" t="str">
        <f aca="false">IF(B7=63417,"Yes","No — mismatch, check Steps 1-4")</f>
        <v>Yes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2026-08-09T12:17:13Z</dcterms:created>
  <dc:creator/>
  <dc:description/>
  <dc:language>en-US</dc:language>
  <cp:lastModifiedBy/>
  <dcterms:modified xsi:type="dcterms:W3CDTF">2026-08-09T12:17:13Z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